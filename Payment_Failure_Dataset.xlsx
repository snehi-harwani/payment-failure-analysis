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c27491688e9a67/Desktop/"/>
    </mc:Choice>
  </mc:AlternateContent>
  <xr:revisionPtr revIDLastSave="0" documentId="8_{DE43ADB9-E136-4DC7-BBEF-41F0E506236C}" xr6:coauthVersionLast="47" xr6:coauthVersionMax="47" xr10:uidLastSave="{00000000-0000-0000-0000-000000000000}"/>
  <bookViews>
    <workbookView xWindow="-110" yWindow="-110" windowWidth="19420" windowHeight="11500" xr2:uid="{3AA9D199-987F-4560-8730-380B4917A605}"/>
  </bookViews>
  <sheets>
    <sheet name="Raw_Data" sheetId="1" r:id="rId1"/>
    <sheet name="Pivot_ Analysis" sheetId="4" r:id="rId2"/>
    <sheet name="Insights" sheetId="7" r:id="rId3"/>
  </sheets>
  <definedNames>
    <definedName name="_xlcn.WorksheetConnection_Book1Table21" hidden="1">Table2[]</definedName>
  </definedNames>
  <calcPr calcId="191029"/>
  <pivotCaches>
    <pivotCache cacheId="8" r:id="rId4"/>
    <pivotCache cacheId="19" r:id="rId5"/>
    <pivotCache cacheId="29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Book1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0C396A-63DC-48DF-A3CF-F581A21884C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ADA7967-7162-42FE-B390-5252B567FAB2}" name="WorksheetConnection_Book1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Book1Table21"/>
        </x15:connection>
      </ext>
    </extLst>
  </connection>
</connections>
</file>

<file path=xl/sharedStrings.xml><?xml version="1.0" encoding="utf-8"?>
<sst xmlns="http://schemas.openxmlformats.org/spreadsheetml/2006/main" count="358" uniqueCount="144">
  <si>
    <t>Transaction_ID</t>
  </si>
  <si>
    <t>User_ID</t>
  </si>
  <si>
    <t>Payment_Method</t>
  </si>
  <si>
    <t>Bank_Name</t>
  </si>
  <si>
    <t>Status</t>
  </si>
  <si>
    <t>Failure_Reason</t>
  </si>
  <si>
    <t>Date</t>
  </si>
  <si>
    <t>Time</t>
  </si>
  <si>
    <t>Retry_Attempt</t>
  </si>
  <si>
    <t>T001</t>
  </si>
  <si>
    <t>U101</t>
  </si>
  <si>
    <t>Card</t>
  </si>
  <si>
    <t>HDFC</t>
  </si>
  <si>
    <t>Failed</t>
  </si>
  <si>
    <t>Do Not Honor</t>
  </si>
  <si>
    <t>Yes</t>
  </si>
  <si>
    <t>T002</t>
  </si>
  <si>
    <t>U102</t>
  </si>
  <si>
    <t>UPI</t>
  </si>
  <si>
    <t>SBI</t>
  </si>
  <si>
    <t>Success</t>
  </si>
  <si>
    <t>No</t>
  </si>
  <si>
    <t>T003</t>
  </si>
  <si>
    <t>U103</t>
  </si>
  <si>
    <t>ICICI</t>
  </si>
  <si>
    <t>T004</t>
  </si>
  <si>
    <t>U104</t>
  </si>
  <si>
    <t>Wallet</t>
  </si>
  <si>
    <t>Paytm</t>
  </si>
  <si>
    <t>T005</t>
  </si>
  <si>
    <t>U105</t>
  </si>
  <si>
    <t>Insufficient Funds</t>
  </si>
  <si>
    <t>T006</t>
  </si>
  <si>
    <t>U106</t>
  </si>
  <si>
    <t>T007</t>
  </si>
  <si>
    <t>U107</t>
  </si>
  <si>
    <t>Axis</t>
  </si>
  <si>
    <t>T008</t>
  </si>
  <si>
    <t>U108</t>
  </si>
  <si>
    <t>PhonePe</t>
  </si>
  <si>
    <t>T009</t>
  </si>
  <si>
    <t>U109</t>
  </si>
  <si>
    <t>T010</t>
  </si>
  <si>
    <t>U110</t>
  </si>
  <si>
    <t>Timeout</t>
  </si>
  <si>
    <t>T011</t>
  </si>
  <si>
    <t>U111</t>
  </si>
  <si>
    <t>T012</t>
  </si>
  <si>
    <t>U112</t>
  </si>
  <si>
    <t>T013</t>
  </si>
  <si>
    <t>U113</t>
  </si>
  <si>
    <t>Network Error</t>
  </si>
  <si>
    <t>T014</t>
  </si>
  <si>
    <t>U114</t>
  </si>
  <si>
    <t>T015</t>
  </si>
  <si>
    <t>U115</t>
  </si>
  <si>
    <t>T016</t>
  </si>
  <si>
    <t>U116</t>
  </si>
  <si>
    <t>T017</t>
  </si>
  <si>
    <t>U117</t>
  </si>
  <si>
    <t>T018</t>
  </si>
  <si>
    <t>U118</t>
  </si>
  <si>
    <t>T019</t>
  </si>
  <si>
    <t>U119</t>
  </si>
  <si>
    <t>T020</t>
  </si>
  <si>
    <t>U120</t>
  </si>
  <si>
    <t>T021</t>
  </si>
  <si>
    <t>U121</t>
  </si>
  <si>
    <t>T022</t>
  </si>
  <si>
    <t>U122</t>
  </si>
  <si>
    <t>T023</t>
  </si>
  <si>
    <t>U123</t>
  </si>
  <si>
    <t>T024</t>
  </si>
  <si>
    <t>U124</t>
  </si>
  <si>
    <t>T025</t>
  </si>
  <si>
    <t>U125</t>
  </si>
  <si>
    <t>T026</t>
  </si>
  <si>
    <t>U126</t>
  </si>
  <si>
    <t>T027</t>
  </si>
  <si>
    <t>U127</t>
  </si>
  <si>
    <t>T028</t>
  </si>
  <si>
    <t>U128</t>
  </si>
  <si>
    <t>T029</t>
  </si>
  <si>
    <t>U129</t>
  </si>
  <si>
    <t>T030</t>
  </si>
  <si>
    <t>U130</t>
  </si>
  <si>
    <t>T031</t>
  </si>
  <si>
    <t>U131</t>
  </si>
  <si>
    <t>T032</t>
  </si>
  <si>
    <t>U132</t>
  </si>
  <si>
    <t>T033</t>
  </si>
  <si>
    <t>U133</t>
  </si>
  <si>
    <t>T034</t>
  </si>
  <si>
    <t>U134</t>
  </si>
  <si>
    <t>T035</t>
  </si>
  <si>
    <t>U135</t>
  </si>
  <si>
    <t>T036</t>
  </si>
  <si>
    <t>U136</t>
  </si>
  <si>
    <t>T037</t>
  </si>
  <si>
    <t>U137</t>
  </si>
  <si>
    <t>T038</t>
  </si>
  <si>
    <t>U138</t>
  </si>
  <si>
    <t>T039</t>
  </si>
  <si>
    <t>U139</t>
  </si>
  <si>
    <t>T040</t>
  </si>
  <si>
    <t>U140</t>
  </si>
  <si>
    <t>T041</t>
  </si>
  <si>
    <t>U141</t>
  </si>
  <si>
    <t>T042</t>
  </si>
  <si>
    <t>U142</t>
  </si>
  <si>
    <t>T043</t>
  </si>
  <si>
    <t>U143</t>
  </si>
  <si>
    <t>T044</t>
  </si>
  <si>
    <t>U144</t>
  </si>
  <si>
    <t>T045</t>
  </si>
  <si>
    <t>U145</t>
  </si>
  <si>
    <t>T046</t>
  </si>
  <si>
    <t>U146</t>
  </si>
  <si>
    <t>T047</t>
  </si>
  <si>
    <t>U147</t>
  </si>
  <si>
    <t>T048</t>
  </si>
  <si>
    <t>U148</t>
  </si>
  <si>
    <t>T049</t>
  </si>
  <si>
    <t>U149</t>
  </si>
  <si>
    <t>T050</t>
  </si>
  <si>
    <t>U150</t>
  </si>
  <si>
    <t>Failure_Flag</t>
  </si>
  <si>
    <t>Hour</t>
  </si>
  <si>
    <t>Day_Name</t>
  </si>
  <si>
    <t>Row Labels</t>
  </si>
  <si>
    <t>Grand Total</t>
  </si>
  <si>
    <t>Sum of Failure_Flag</t>
  </si>
  <si>
    <t>Transaction_Amount</t>
  </si>
  <si>
    <t>2. HDFC bank contributes the highest number of failed transactions among all banks.</t>
  </si>
  <si>
    <t>3. Payment failures are concentrated during peak evening hours (20:00–22:00).</t>
  </si>
  <si>
    <t xml:space="preserve">Key Insights: </t>
  </si>
  <si>
    <t xml:space="preserve">Recommendations: </t>
  </si>
  <si>
    <t>1. Optimize card payment processing by improving gateway reliability and reducing bank-side declines.</t>
  </si>
  <si>
    <t>2. Implement smart retry mechanisms for failed transactions, especially for temporary failures like timeouts.</t>
  </si>
  <si>
    <t>4. Introduce real-time alerts for failure spikes during peak hours (20:00–22:00).</t>
  </si>
  <si>
    <t>5. Encourage users to switch to more reliable payment methods like UPI during high failure periods.</t>
  </si>
  <si>
    <t>1.Card payments show significantly higher failure rates compared to UPI and Wallet transactions.</t>
  </si>
  <si>
    <t>6. Track and monitor failure rate KPIs (e.g., failure % by payment method and bank) to measure improvement over time.</t>
  </si>
  <si>
    <t>3. Conduct root cause analysis on high failure rates in HDFC transactions and work with the bank to identify underlying issues and implement corrective actions.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</si>
</sst>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rti" refreshedDate="46107.443607870373" backgroundQuery="1" createdVersion="8" refreshedVersion="8" minRefreshableVersion="3" recordCount="0" supportSubquery="1" supportAdvancedDrill="1" xr:uid="{FB8D40E5-E42C-497C-94E9-AAE4EB26A266}">
  <cacheSource type="external" connectionId="1"/>
  <cacheFields count="2">
    <cacheField name="[Table2].[Payment_Method].[Payment_Method]" caption="Payment_Method" numFmtId="0" hierarchy="3" level="1">
      <sharedItems count="3">
        <s v="Card"/>
        <s v="UPI"/>
        <s v="Wallet"/>
      </sharedItems>
    </cacheField>
    <cacheField name="[Measures].[Sum of Failure_Flag]" caption="Sum of Failure_Flag" numFmtId="0" hierarchy="15" level="32767"/>
  </cacheFields>
  <cacheHierarchies count="16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User_ID]" caption="User_ID" attribute="1" defaultMemberUniqueName="[Table2].[User_ID].[All]" allUniqueName="[Table2].[User_ID].[All]" dimensionUniqueName="[Table2]" displayFolder="" count="0" memberValueDatatype="130" unbalanced="0"/>
    <cacheHierarchy uniqueName="[Table2].[Amount]" caption="Amount" attribute="1" defaultMemberUniqueName="[Table2].[Amount].[All]" allUniqueName="[Table2].[Amount].[All]" dimensionUniqueName="[Table2]" displayFolder="" count="0" memberValueDatatype="20" unbalanced="0"/>
    <cacheHierarchy uniqueName="[Table2].[Payment_Method]" caption="Payment_Method" attribute="1" defaultMemberUniqueName="[Table2].[Payment_Method].[All]" allUniqueName="[Table2].[Payment_Metho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Bank_Name]" caption="Bank_Name" attribute="1" defaultMemberUniqueName="[Table2].[Bank_Name].[All]" allUniqueName="[Table2].[Bank_Name].[All]" dimensionUniqueName="[Table2]" displayFolder="" count="2" memberValueDatatype="130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2].[Failure_Reason]" caption="Failure_Reason" attribute="1" defaultMemberUniqueName="[Table2].[Failure_Reason].[All]" allUniqueName="[Table2].[Failure_Reason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Time]" caption="Time" attribute="1" time="1" defaultMemberUniqueName="[Table2].[Time].[All]" allUniqueName="[Table2].[Time].[All]" dimensionUniqueName="[Table2]" displayFolder="" count="0" memberValueDatatype="7" unbalanced="0"/>
    <cacheHierarchy uniqueName="[Table2].[Retry_Attempt]" caption="Retry_Attempt" attribute="1" defaultMemberUniqueName="[Table2].[Retry_Attempt].[All]" allUniqueName="[Table2].[Retry_Attempt].[All]" dimensionUniqueName="[Table2]" displayFolder="" count="0" memberValueDatatype="130" unbalanced="0"/>
    <cacheHierarchy uniqueName="[Table2].[Failure_Flag]" caption="Failure_Flag" attribute="1" defaultMemberUniqueName="[Table2].[Failure_Flag].[All]" allUniqueName="[Table2].[Failure_Flag].[All]" dimensionUniqueName="[Table2]" displayFolder="" count="0" memberValueDatatype="20" unbalanced="0"/>
    <cacheHierarchy uniqueName="[Table2].[Hour]" caption="Hour" attribute="1" defaultMemberUniqueName="[Table2].[Hour].[All]" allUniqueName="[Table2].[Hour].[All]" dimensionUniqueName="[Table2]" displayFolder="" count="0" memberValueDatatype="20" unbalanced="0"/>
    <cacheHierarchy uniqueName="[Table2].[Day_Name]" caption="Day_Name" attribute="1" defaultMemberUniqueName="[Table2].[Day_Name].[All]" allUniqueName="[Table2].[Day_Nam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Failure_Flag]" caption="Sum of Failure_Flag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rti" refreshedDate="46107.445331828705" backgroundQuery="1" createdVersion="8" refreshedVersion="8" minRefreshableVersion="3" recordCount="0" supportSubquery="1" supportAdvancedDrill="1" xr:uid="{BB262FFF-6D1A-47D5-9532-3A45AB0A754E}">
  <cacheSource type="external" connectionId="1"/>
  <cacheFields count="2">
    <cacheField name="[Table2].[Bank_Name].[Bank_Name]" caption="Bank_Name" numFmtId="0" hierarchy="4" level="1">
      <sharedItems count="6">
        <s v="Axis"/>
        <s v="HDFC"/>
        <s v="ICICI"/>
        <s v="Paytm"/>
        <s v="PhonePe"/>
        <s v="SBI"/>
      </sharedItems>
    </cacheField>
    <cacheField name="[Measures].[Sum of Failure_Flag]" caption="Sum of Failure_Flag" numFmtId="0" hierarchy="15" level="32767"/>
  </cacheFields>
  <cacheHierarchies count="16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User_ID]" caption="User_ID" attribute="1" defaultMemberUniqueName="[Table2].[User_ID].[All]" allUniqueName="[Table2].[User_ID].[All]" dimensionUniqueName="[Table2]" displayFolder="" count="0" memberValueDatatype="130" unbalanced="0"/>
    <cacheHierarchy uniqueName="[Table2].[Amount]" caption="Amount" attribute="1" defaultMemberUniqueName="[Table2].[Amount].[All]" allUniqueName="[Table2].[Amount].[All]" dimensionUniqueName="[Table2]" displayFolder="" count="0" memberValueDatatype="20" unbalanced="0"/>
    <cacheHierarchy uniqueName="[Table2].[Payment_Method]" caption="Payment_Method" attribute="1" defaultMemberUniqueName="[Table2].[Payment_Method].[All]" allUniqueName="[Table2].[Payment_Method].[All]" dimensionUniqueName="[Table2]" displayFolder="" count="0" memberValueDatatype="130" unbalanced="0"/>
    <cacheHierarchy uniqueName="[Table2].[Bank_Name]" caption="Bank_Name" attribute="1" defaultMemberUniqueName="[Table2].[Bank_Name].[All]" allUniqueName="[Table2].[Bank_Name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2].[Failure_Reason]" caption="Failure_Reason" attribute="1" defaultMemberUniqueName="[Table2].[Failure_Reason].[All]" allUniqueName="[Table2].[Failure_Reason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Time]" caption="Time" attribute="1" time="1" defaultMemberUniqueName="[Table2].[Time].[All]" allUniqueName="[Table2].[Time].[All]" dimensionUniqueName="[Table2]" displayFolder="" count="0" memberValueDatatype="7" unbalanced="0"/>
    <cacheHierarchy uniqueName="[Table2].[Retry_Attempt]" caption="Retry_Attempt" attribute="1" defaultMemberUniqueName="[Table2].[Retry_Attempt].[All]" allUniqueName="[Table2].[Retry_Attempt].[All]" dimensionUniqueName="[Table2]" displayFolder="" count="0" memberValueDatatype="130" unbalanced="0"/>
    <cacheHierarchy uniqueName="[Table2].[Failure_Flag]" caption="Failure_Flag" attribute="1" defaultMemberUniqueName="[Table2].[Failure_Flag].[All]" allUniqueName="[Table2].[Failure_Flag].[All]" dimensionUniqueName="[Table2]" displayFolder="" count="0" memberValueDatatype="20" unbalanced="0"/>
    <cacheHierarchy uniqueName="[Table2].[Hour]" caption="Hour" attribute="1" defaultMemberUniqueName="[Table2].[Hour].[All]" allUniqueName="[Table2].[Hour].[All]" dimensionUniqueName="[Table2]" displayFolder="" count="0" memberValueDatatype="20" unbalanced="0"/>
    <cacheHierarchy uniqueName="[Table2].[Day_Name]" caption="Day_Name" attribute="1" defaultMemberUniqueName="[Table2].[Day_Name].[All]" allUniqueName="[Table2].[Day_Nam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Failure_Flag]" caption="Sum of Failure_Flag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irti" refreshedDate="46107.447476620371" backgroundQuery="1" createdVersion="8" refreshedVersion="8" minRefreshableVersion="3" recordCount="0" supportSubquery="1" supportAdvancedDrill="1" xr:uid="{B8C19125-8AEA-4F01-9D2A-393B9941079F}">
  <cacheSource type="external" connectionId="1"/>
  <cacheFields count="2">
    <cacheField name="[Table2].[Hour].[Hour]" caption="Hour" numFmtId="0" hierarchy="11" level="1">
      <sharedItems containsSemiMixedTypes="0" containsString="0" containsNumber="1" containsInteger="1" minValue="9" maxValue="22" count="14"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</sharedItems>
      <extLst>
        <ext xmlns:x15="http://schemas.microsoft.com/office/spreadsheetml/2010/11/main" uri="{4F2E5C28-24EA-4eb8-9CBF-B6C8F9C3D259}">
          <x15:cachedUniqueNames>
            <x15:cachedUniqueName index="0" name="[Table2].[Hour].&amp;[9]"/>
            <x15:cachedUniqueName index="1" name="[Table2].[Hour].&amp;[10]"/>
            <x15:cachedUniqueName index="2" name="[Table2].[Hour].&amp;[11]"/>
            <x15:cachedUniqueName index="3" name="[Table2].[Hour].&amp;[12]"/>
            <x15:cachedUniqueName index="4" name="[Table2].[Hour].&amp;[13]"/>
            <x15:cachedUniqueName index="5" name="[Table2].[Hour].&amp;[14]"/>
            <x15:cachedUniqueName index="6" name="[Table2].[Hour].&amp;[15]"/>
            <x15:cachedUniqueName index="7" name="[Table2].[Hour].&amp;[16]"/>
            <x15:cachedUniqueName index="8" name="[Table2].[Hour].&amp;[17]"/>
            <x15:cachedUniqueName index="9" name="[Table2].[Hour].&amp;[18]"/>
            <x15:cachedUniqueName index="10" name="[Table2].[Hour].&amp;[19]"/>
            <x15:cachedUniqueName index="11" name="[Table2].[Hour].&amp;[20]"/>
            <x15:cachedUniqueName index="12" name="[Table2].[Hour].&amp;[21]"/>
            <x15:cachedUniqueName index="13" name="[Table2].[Hour].&amp;[22]"/>
          </x15:cachedUniqueNames>
        </ext>
      </extLst>
    </cacheField>
    <cacheField name="[Measures].[Sum of Failure_Flag]" caption="Sum of Failure_Flag" numFmtId="0" hierarchy="15" level="32767"/>
  </cacheFields>
  <cacheHierarchies count="16">
    <cacheHierarchy uniqueName="[Table2].[Transaction_ID]" caption="Transaction_ID" attribute="1" defaultMemberUniqueName="[Table2].[Transaction_ID].[All]" allUniqueName="[Table2].[Transaction_ID].[All]" dimensionUniqueName="[Table2]" displayFolder="" count="0" memberValueDatatype="130" unbalanced="0"/>
    <cacheHierarchy uniqueName="[Table2].[User_ID]" caption="User_ID" attribute="1" defaultMemberUniqueName="[Table2].[User_ID].[All]" allUniqueName="[Table2].[User_ID].[All]" dimensionUniqueName="[Table2]" displayFolder="" count="0" memberValueDatatype="130" unbalanced="0"/>
    <cacheHierarchy uniqueName="[Table2].[Amount]" caption="Amount" attribute="1" defaultMemberUniqueName="[Table2].[Amount].[All]" allUniqueName="[Table2].[Amount].[All]" dimensionUniqueName="[Table2]" displayFolder="" count="0" memberValueDatatype="20" unbalanced="0"/>
    <cacheHierarchy uniqueName="[Table2].[Payment_Method]" caption="Payment_Method" attribute="1" defaultMemberUniqueName="[Table2].[Payment_Method].[All]" allUniqueName="[Table2].[Payment_Method].[All]" dimensionUniqueName="[Table2]" displayFolder="" count="0" memberValueDatatype="130" unbalanced="0"/>
    <cacheHierarchy uniqueName="[Table2].[Bank_Name]" caption="Bank_Name" attribute="1" defaultMemberUniqueName="[Table2].[Bank_Name].[All]" allUniqueName="[Table2].[Bank_Name].[All]" dimensionUniqueName="[Table2]" displayFolder="" count="0" memberValueDatatype="130" unbalanced="0"/>
    <cacheHierarchy uniqueName="[Table2].[Status]" caption="Status" attribute="1" defaultMemberUniqueName="[Table2].[Status].[All]" allUniqueName="[Table2].[Status].[All]" dimensionUniqueName="[Table2]" displayFolder="" count="0" memberValueDatatype="130" unbalanced="0"/>
    <cacheHierarchy uniqueName="[Table2].[Failure_Reason]" caption="Failure_Reason" attribute="1" defaultMemberUniqueName="[Table2].[Failure_Reason].[All]" allUniqueName="[Table2].[Failure_Reason].[All]" dimensionUniqueName="[Table2]" displayFolder="" count="0" memberValueDatatype="130" unbalanced="0"/>
    <cacheHierarchy uniqueName="[Table2].[Date]" caption="Date" attribute="1" time="1" defaultMemberUniqueName="[Table2].[Date].[All]" allUniqueName="[Table2].[Date].[All]" dimensionUniqueName="[Table2]" displayFolder="" count="0" memberValueDatatype="7" unbalanced="0"/>
    <cacheHierarchy uniqueName="[Table2].[Time]" caption="Time" attribute="1" time="1" defaultMemberUniqueName="[Table2].[Time].[All]" allUniqueName="[Table2].[Time].[All]" dimensionUniqueName="[Table2]" displayFolder="" count="0" memberValueDatatype="7" unbalanced="0"/>
    <cacheHierarchy uniqueName="[Table2].[Retry_Attempt]" caption="Retry_Attempt" attribute="1" defaultMemberUniqueName="[Table2].[Retry_Attempt].[All]" allUniqueName="[Table2].[Retry_Attempt].[All]" dimensionUniqueName="[Table2]" displayFolder="" count="0" memberValueDatatype="130" unbalanced="0"/>
    <cacheHierarchy uniqueName="[Table2].[Failure_Flag]" caption="Failure_Flag" attribute="1" defaultMemberUniqueName="[Table2].[Failure_Flag].[All]" allUniqueName="[Table2].[Failure_Flag].[All]" dimensionUniqueName="[Table2]" displayFolder="" count="0" memberValueDatatype="20" unbalanced="0"/>
    <cacheHierarchy uniqueName="[Table2].[Hour]" caption="Hour" attribute="1" defaultMemberUniqueName="[Table2].[Hour].[All]" allUniqueName="[Table2].[Hour].[All]" dimensionUniqueName="[Table2]" displayFolder="" count="2" memberValueDatatype="20" unbalanced="0">
      <fieldsUsage count="2">
        <fieldUsage x="-1"/>
        <fieldUsage x="0"/>
      </fieldsUsage>
    </cacheHierarchy>
    <cacheHierarchy uniqueName="[Table2].[Day_Name]" caption="Day_Name" attribute="1" defaultMemberUniqueName="[Table2].[Day_Name].[All]" allUniqueName="[Table2].[Day_Name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Sum of Failure_Flag]" caption="Sum of Failure_Flag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D49F9-7D3C-41DB-891A-70577AB6D53B}" name="PivotTable4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2:H17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Failure_Flag" fld="1" baseField="0" baseItem="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9DD44C-0477-47E3-8C59-581424172809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2:E9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Failure_Flag" fld="1" baseField="0" baseItem="0"/>
  </dataFields>
  <formats count="6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fieldPosition="0">
        <references count="1">
          <reference field="0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B154A-38CD-4318-BDF4-07EFEA7441CC}" name="PivotTable1" cacheId="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2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Failure_Flag" fld="1" baseField="0" baseItem="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0" type="button" dataOnly="0" labelOnly="1" outline="0" axis="axisRow" fieldPosition="0"/>
    </format>
    <format dxfId="12">
      <pivotArea dataOnly="0" labelOnly="1" fieldPosition="0">
        <references count="1">
          <reference field="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pivotHierarchies count="1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Book1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E264B1-BDD3-48FB-8C2E-B7B05DF61FC5}" name="Table2" displayName="Table2" ref="A1:M51" totalsRowShown="0" headerRowDxfId="32" dataDxfId="31">
  <autoFilter ref="A1:M51" xr:uid="{96E264B1-BDD3-48FB-8C2E-B7B05DF61FC5}"/>
  <tableColumns count="13">
    <tableColumn id="1" xr3:uid="{523FC8E7-4003-45CC-895D-82C0C67F0844}" name="Transaction_ID" dataDxfId="30"/>
    <tableColumn id="8" xr3:uid="{9D75AD7A-F0DC-4D73-898C-ED14D116A9BC}" name="Date" dataDxfId="3"/>
    <tableColumn id="9" xr3:uid="{B6E0BD24-2340-4740-9FB2-BEFE180F4FF9}" name="Time" dataDxfId="2"/>
    <tableColumn id="2" xr3:uid="{41144BB3-F76C-47C6-B475-2FE33377C924}" name="User_ID" dataDxfId="29"/>
    <tableColumn id="4" xr3:uid="{99BDBBE8-CBD0-422C-B521-C4AC31E493A9}" name="Payment_Method" dataDxfId="1"/>
    <tableColumn id="5" xr3:uid="{B9272024-C79A-4D4F-9D05-F426B8FBBE1D}" name="Bank_Name" dataDxfId="0"/>
    <tableColumn id="3" xr3:uid="{23137E71-08C9-401B-863E-1B123506E4DE}" name="Transaction_Amount" dataDxfId="28"/>
    <tableColumn id="6" xr3:uid="{604D5C2D-21F6-4559-BEA6-E20ABAC9B760}" name="Status" dataDxfId="27"/>
    <tableColumn id="7" xr3:uid="{7AE8BB6C-7312-430A-882D-732929C836ED}" name="Failure_Reason" dataDxfId="26"/>
    <tableColumn id="10" xr3:uid="{0E60642E-F030-45EE-AEB1-6411FE1B0C24}" name="Retry_Attempt" dataDxfId="25"/>
    <tableColumn id="11" xr3:uid="{BFBDF3D8-EC51-4FA9-8EE6-0A2A6E44BAD8}" name="Failure_Flag" dataDxfId="24">
      <calculatedColumnFormula>IF(Table2[[#This Row],[Status]]="Failed",1,0)</calculatedColumnFormula>
    </tableColumn>
    <tableColumn id="12" xr3:uid="{7ED4C419-3B21-43B7-8D10-B4A903771F55}" name="Hour" dataDxfId="23">
      <calculatedColumnFormula>HOUR(Table2[[#This Row],[Time]])</calculatedColumnFormula>
    </tableColumn>
    <tableColumn id="13" xr3:uid="{3A33D509-15C5-4F10-8389-2503457B023E}" name="Day_Name" dataDxfId="22">
      <calculatedColumnFormula>TEXT(Table2[[#This Row],[Date]],"dddd")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32CE-EFAE-4D81-814F-D7FA7E453886}">
  <dimension ref="A1:M51"/>
  <sheetViews>
    <sheetView tabSelected="1" zoomScale="69" zoomScaleNormal="69" workbookViewId="0">
      <selection activeCell="O17" sqref="O17"/>
    </sheetView>
  </sheetViews>
  <sheetFormatPr defaultRowHeight="14.5" x14ac:dyDescent="0.35"/>
  <cols>
    <col min="1" max="1" width="30.453125" bestFit="1" customWidth="1"/>
    <col min="2" max="2" width="18.26953125" bestFit="1" customWidth="1"/>
    <col min="3" max="3" width="18.453125" bestFit="1" customWidth="1"/>
    <col min="4" max="4" width="21.81640625" bestFit="1" customWidth="1"/>
    <col min="5" max="5" width="33.08984375" bestFit="1" customWidth="1"/>
    <col min="6" max="6" width="26.7265625" bestFit="1" customWidth="1"/>
    <col min="7" max="7" width="37.36328125" bestFit="1" customWidth="1"/>
    <col min="8" max="8" width="20.26953125" bestFit="1" customWidth="1"/>
    <col min="9" max="9" width="31.08984375" bestFit="1" customWidth="1"/>
    <col min="10" max="10" width="29.54296875" bestFit="1" customWidth="1"/>
    <col min="11" max="11" width="27.1796875" bestFit="1" customWidth="1"/>
    <col min="12" max="12" width="18.453125" bestFit="1" customWidth="1"/>
    <col min="13" max="13" width="24.90625" bestFit="1" customWidth="1"/>
    <col min="14" max="14" width="22.7265625" customWidth="1"/>
    <col min="15" max="15" width="30.453125" customWidth="1"/>
    <col min="16" max="16" width="28.81640625" customWidth="1"/>
    <col min="17" max="17" width="17.453125" customWidth="1"/>
  </cols>
  <sheetData>
    <row r="1" spans="1:13" x14ac:dyDescent="0.35">
      <c r="A1" s="1" t="s">
        <v>0</v>
      </c>
      <c r="B1" s="1" t="s">
        <v>6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132</v>
      </c>
      <c r="H1" s="1" t="s">
        <v>4</v>
      </c>
      <c r="I1" s="1" t="s">
        <v>5</v>
      </c>
      <c r="J1" s="1" t="s">
        <v>8</v>
      </c>
      <c r="K1" s="1" t="s">
        <v>126</v>
      </c>
      <c r="L1" s="1" t="s">
        <v>127</v>
      </c>
      <c r="M1" s="1" t="s">
        <v>128</v>
      </c>
    </row>
    <row r="2" spans="1:13" x14ac:dyDescent="0.35">
      <c r="A2" s="1" t="s">
        <v>9</v>
      </c>
      <c r="B2" s="2">
        <v>46082</v>
      </c>
      <c r="C2" s="3">
        <v>0.84375</v>
      </c>
      <c r="D2" s="1" t="s">
        <v>10</v>
      </c>
      <c r="E2" s="1" t="s">
        <v>11</v>
      </c>
      <c r="F2" s="1" t="s">
        <v>12</v>
      </c>
      <c r="G2" s="1">
        <v>1200</v>
      </c>
      <c r="H2" s="1" t="s">
        <v>13</v>
      </c>
      <c r="I2" s="1" t="s">
        <v>14</v>
      </c>
      <c r="J2" s="1" t="s">
        <v>15</v>
      </c>
      <c r="K2" s="1">
        <f>IF(Table2[[#This Row],[Status]]="Failed",1,0)</f>
        <v>1</v>
      </c>
      <c r="L2" s="1">
        <f>HOUR(Table2[[#This Row],[Time]])</f>
        <v>20</v>
      </c>
      <c r="M2" s="1" t="str">
        <f>TEXT(Table2[[#This Row],[Date]],"dddd")</f>
        <v>Sunday</v>
      </c>
    </row>
    <row r="3" spans="1:13" x14ac:dyDescent="0.35">
      <c r="A3" s="1" t="s">
        <v>16</v>
      </c>
      <c r="B3" s="2">
        <v>46082</v>
      </c>
      <c r="C3" s="3">
        <v>0.4201388888888889</v>
      </c>
      <c r="D3" s="1" t="s">
        <v>17</v>
      </c>
      <c r="E3" s="1" t="s">
        <v>18</v>
      </c>
      <c r="F3" s="1" t="s">
        <v>19</v>
      </c>
      <c r="G3" s="1">
        <v>500</v>
      </c>
      <c r="H3" s="1" t="s">
        <v>20</v>
      </c>
      <c r="I3" s="1"/>
      <c r="J3" s="1" t="s">
        <v>21</v>
      </c>
      <c r="K3" s="1">
        <f>IF(Table2[[#This Row],[Status]]="Failed",1,0)</f>
        <v>0</v>
      </c>
      <c r="L3" s="1">
        <f>HOUR(Table2[[#This Row],[Time]])</f>
        <v>10</v>
      </c>
      <c r="M3" s="1" t="str">
        <f>TEXT(Table2[[#This Row],[Date]],"dddd")</f>
        <v>Sunday</v>
      </c>
    </row>
    <row r="4" spans="1:13" x14ac:dyDescent="0.35">
      <c r="A4" s="1" t="s">
        <v>22</v>
      </c>
      <c r="B4" s="2">
        <v>46082</v>
      </c>
      <c r="C4" s="3">
        <v>0.59722222222222221</v>
      </c>
      <c r="D4" s="1" t="s">
        <v>23</v>
      </c>
      <c r="E4" s="1" t="s">
        <v>11</v>
      </c>
      <c r="F4" s="1" t="s">
        <v>24</v>
      </c>
      <c r="G4" s="1">
        <v>2300</v>
      </c>
      <c r="H4" s="1" t="s">
        <v>20</v>
      </c>
      <c r="I4" s="1"/>
      <c r="J4" s="1" t="s">
        <v>21</v>
      </c>
      <c r="K4" s="1">
        <f>IF(Table2[[#This Row],[Status]]="Failed",1,0)</f>
        <v>0</v>
      </c>
      <c r="L4" s="1">
        <f>HOUR(Table2[[#This Row],[Time]])</f>
        <v>14</v>
      </c>
      <c r="M4" s="1" t="str">
        <f>TEXT(Table2[[#This Row],[Date]],"dddd")</f>
        <v>Sunday</v>
      </c>
    </row>
    <row r="5" spans="1:13" x14ac:dyDescent="0.35">
      <c r="A5" s="1" t="s">
        <v>25</v>
      </c>
      <c r="B5" s="2">
        <v>46082</v>
      </c>
      <c r="C5" s="3">
        <v>0.78125</v>
      </c>
      <c r="D5" s="1" t="s">
        <v>26</v>
      </c>
      <c r="E5" s="1" t="s">
        <v>27</v>
      </c>
      <c r="F5" s="1" t="s">
        <v>28</v>
      </c>
      <c r="G5" s="1">
        <v>800</v>
      </c>
      <c r="H5" s="1" t="s">
        <v>20</v>
      </c>
      <c r="I5" s="1"/>
      <c r="J5" s="1" t="s">
        <v>21</v>
      </c>
      <c r="K5" s="1">
        <f>IF(Table2[[#This Row],[Status]]="Failed",1,0)</f>
        <v>0</v>
      </c>
      <c r="L5" s="1">
        <f>HOUR(Table2[[#This Row],[Time]])</f>
        <v>18</v>
      </c>
      <c r="M5" s="1" t="str">
        <f>TEXT(Table2[[#This Row],[Date]],"dddd")</f>
        <v>Sunday</v>
      </c>
    </row>
    <row r="6" spans="1:13" x14ac:dyDescent="0.35">
      <c r="A6" s="1" t="s">
        <v>29</v>
      </c>
      <c r="B6" s="2">
        <v>46082</v>
      </c>
      <c r="C6" s="3">
        <v>0.88194444444444442</v>
      </c>
      <c r="D6" s="1" t="s">
        <v>30</v>
      </c>
      <c r="E6" s="1" t="s">
        <v>11</v>
      </c>
      <c r="F6" s="1" t="s">
        <v>12</v>
      </c>
      <c r="G6" s="1">
        <v>1500</v>
      </c>
      <c r="H6" s="1" t="s">
        <v>13</v>
      </c>
      <c r="I6" s="1" t="s">
        <v>31</v>
      </c>
      <c r="J6" s="1" t="s">
        <v>15</v>
      </c>
      <c r="K6" s="1">
        <f>IF(Table2[[#This Row],[Status]]="Failed",1,0)</f>
        <v>1</v>
      </c>
      <c r="L6" s="1">
        <f>HOUR(Table2[[#This Row],[Time]])</f>
        <v>21</v>
      </c>
      <c r="M6" s="1" t="str">
        <f>TEXT(Table2[[#This Row],[Date]],"dddd")</f>
        <v>Sunday</v>
      </c>
    </row>
    <row r="7" spans="1:13" x14ac:dyDescent="0.35">
      <c r="A7" s="1" t="s">
        <v>32</v>
      </c>
      <c r="B7" s="2">
        <v>46083</v>
      </c>
      <c r="C7" s="3">
        <v>0.39583333333333331</v>
      </c>
      <c r="D7" s="1" t="s">
        <v>33</v>
      </c>
      <c r="E7" s="1" t="s">
        <v>18</v>
      </c>
      <c r="F7" s="1" t="s">
        <v>19</v>
      </c>
      <c r="G7" s="1">
        <v>300</v>
      </c>
      <c r="H7" s="1" t="s">
        <v>20</v>
      </c>
      <c r="I7" s="1"/>
      <c r="J7" s="1" t="s">
        <v>21</v>
      </c>
      <c r="K7" s="1">
        <f>IF(Table2[[#This Row],[Status]]="Failed",1,0)</f>
        <v>0</v>
      </c>
      <c r="L7" s="1">
        <f>HOUR(Table2[[#This Row],[Time]])</f>
        <v>9</v>
      </c>
      <c r="M7" s="1" t="str">
        <f>TEXT(Table2[[#This Row],[Date]],"dddd")</f>
        <v>Monday</v>
      </c>
    </row>
    <row r="8" spans="1:13" x14ac:dyDescent="0.35">
      <c r="A8" s="1" t="s">
        <v>34</v>
      </c>
      <c r="B8" s="2">
        <v>46083</v>
      </c>
      <c r="C8" s="3">
        <v>0.82638888888888884</v>
      </c>
      <c r="D8" s="1" t="s">
        <v>35</v>
      </c>
      <c r="E8" s="1" t="s">
        <v>11</v>
      </c>
      <c r="F8" s="1" t="s">
        <v>36</v>
      </c>
      <c r="G8" s="1">
        <v>2000</v>
      </c>
      <c r="H8" s="1" t="s">
        <v>13</v>
      </c>
      <c r="I8" s="1" t="s">
        <v>14</v>
      </c>
      <c r="J8" s="1" t="s">
        <v>21</v>
      </c>
      <c r="K8" s="1">
        <f>IF(Table2[[#This Row],[Status]]="Failed",1,0)</f>
        <v>1</v>
      </c>
      <c r="L8" s="1">
        <f>HOUR(Table2[[#This Row],[Time]])</f>
        <v>19</v>
      </c>
      <c r="M8" s="1" t="str">
        <f>TEXT(Table2[[#This Row],[Date]],"dddd")</f>
        <v>Monday</v>
      </c>
    </row>
    <row r="9" spans="1:13" x14ac:dyDescent="0.35">
      <c r="A9" s="1" t="s">
        <v>37</v>
      </c>
      <c r="B9" s="2">
        <v>46083</v>
      </c>
      <c r="C9" s="3">
        <v>0.54861111111111116</v>
      </c>
      <c r="D9" s="1" t="s">
        <v>38</v>
      </c>
      <c r="E9" s="1" t="s">
        <v>27</v>
      </c>
      <c r="F9" s="1" t="s">
        <v>39</v>
      </c>
      <c r="G9" s="1">
        <v>700</v>
      </c>
      <c r="H9" s="1" t="s">
        <v>20</v>
      </c>
      <c r="I9" s="1"/>
      <c r="J9" s="1" t="s">
        <v>21</v>
      </c>
      <c r="K9" s="1">
        <f>IF(Table2[[#This Row],[Status]]="Failed",1,0)</f>
        <v>0</v>
      </c>
      <c r="L9" s="1">
        <f>HOUR(Table2[[#This Row],[Time]])</f>
        <v>13</v>
      </c>
      <c r="M9" s="1" t="str">
        <f>TEXT(Table2[[#This Row],[Date]],"dddd")</f>
        <v>Monday</v>
      </c>
    </row>
    <row r="10" spans="1:13" x14ac:dyDescent="0.35">
      <c r="A10" s="1" t="s">
        <v>40</v>
      </c>
      <c r="B10" s="2">
        <v>46083</v>
      </c>
      <c r="C10" s="3">
        <v>0.66666666666666663</v>
      </c>
      <c r="D10" s="1" t="s">
        <v>41</v>
      </c>
      <c r="E10" s="1" t="s">
        <v>18</v>
      </c>
      <c r="F10" s="1" t="s">
        <v>24</v>
      </c>
      <c r="G10" s="1">
        <v>1200</v>
      </c>
      <c r="H10" s="1" t="s">
        <v>20</v>
      </c>
      <c r="I10" s="1"/>
      <c r="J10" s="1" t="s">
        <v>21</v>
      </c>
      <c r="K10" s="1">
        <f>IF(Table2[[#This Row],[Status]]="Failed",1,0)</f>
        <v>0</v>
      </c>
      <c r="L10" s="1">
        <f>HOUR(Table2[[#This Row],[Time]])</f>
        <v>16</v>
      </c>
      <c r="M10" s="1" t="str">
        <f>TEXT(Table2[[#This Row],[Date]],"dddd")</f>
        <v>Monday</v>
      </c>
    </row>
    <row r="11" spans="1:13" x14ac:dyDescent="0.35">
      <c r="A11" s="1" t="s">
        <v>42</v>
      </c>
      <c r="B11" s="2">
        <v>46083</v>
      </c>
      <c r="C11" s="3">
        <v>0.92708333333333337</v>
      </c>
      <c r="D11" s="1" t="s">
        <v>43</v>
      </c>
      <c r="E11" s="1" t="s">
        <v>11</v>
      </c>
      <c r="F11" s="1" t="s">
        <v>12</v>
      </c>
      <c r="G11" s="1">
        <v>2500</v>
      </c>
      <c r="H11" s="1" t="s">
        <v>13</v>
      </c>
      <c r="I11" s="1" t="s">
        <v>44</v>
      </c>
      <c r="J11" s="1" t="s">
        <v>15</v>
      </c>
      <c r="K11" s="1">
        <f>IF(Table2[[#This Row],[Status]]="Failed",1,0)</f>
        <v>1</v>
      </c>
      <c r="L11" s="1">
        <f>HOUR(Table2[[#This Row],[Time]])</f>
        <v>22</v>
      </c>
      <c r="M11" s="1" t="str">
        <f>TEXT(Table2[[#This Row],[Date]],"dddd")</f>
        <v>Monday</v>
      </c>
    </row>
    <row r="12" spans="1:13" x14ac:dyDescent="0.35">
      <c r="A12" s="1" t="s">
        <v>45</v>
      </c>
      <c r="B12" s="2">
        <v>46084</v>
      </c>
      <c r="C12" s="3">
        <v>0.47222222222222221</v>
      </c>
      <c r="D12" s="1" t="s">
        <v>46</v>
      </c>
      <c r="E12" s="1" t="s">
        <v>18</v>
      </c>
      <c r="F12" s="1" t="s">
        <v>19</v>
      </c>
      <c r="G12" s="1">
        <v>400</v>
      </c>
      <c r="H12" s="1" t="s">
        <v>20</v>
      </c>
      <c r="I12" s="1"/>
      <c r="J12" s="1" t="s">
        <v>21</v>
      </c>
      <c r="K12" s="1">
        <f>IF(Table2[[#This Row],[Status]]="Failed",1,0)</f>
        <v>0</v>
      </c>
      <c r="L12" s="1">
        <f>HOUR(Table2[[#This Row],[Time]])</f>
        <v>11</v>
      </c>
      <c r="M12" s="1" t="str">
        <f>TEXT(Table2[[#This Row],[Date]],"dddd")</f>
        <v>Tuesday</v>
      </c>
    </row>
    <row r="13" spans="1:13" x14ac:dyDescent="0.35">
      <c r="A13" s="1" t="s">
        <v>47</v>
      </c>
      <c r="B13" s="2">
        <v>46084</v>
      </c>
      <c r="C13" s="3">
        <v>0.64930555555555558</v>
      </c>
      <c r="D13" s="1" t="s">
        <v>48</v>
      </c>
      <c r="E13" s="1" t="s">
        <v>11</v>
      </c>
      <c r="F13" s="1" t="s">
        <v>36</v>
      </c>
      <c r="G13" s="1">
        <v>900</v>
      </c>
      <c r="H13" s="1" t="s">
        <v>20</v>
      </c>
      <c r="I13" s="1"/>
      <c r="J13" s="1" t="s">
        <v>21</v>
      </c>
      <c r="K13" s="1">
        <f>IF(Table2[[#This Row],[Status]]="Failed",1,0)</f>
        <v>0</v>
      </c>
      <c r="L13" s="1">
        <f>HOUR(Table2[[#This Row],[Time]])</f>
        <v>15</v>
      </c>
      <c r="M13" s="1" t="str">
        <f>TEXT(Table2[[#This Row],[Date]],"dddd")</f>
        <v>Tuesday</v>
      </c>
    </row>
    <row r="14" spans="1:13" x14ac:dyDescent="0.35">
      <c r="A14" s="1" t="s">
        <v>49</v>
      </c>
      <c r="B14" s="2">
        <v>46084</v>
      </c>
      <c r="C14" s="3">
        <v>0.86458333333333337</v>
      </c>
      <c r="D14" s="1" t="s">
        <v>50</v>
      </c>
      <c r="E14" s="1" t="s">
        <v>11</v>
      </c>
      <c r="F14" s="1" t="s">
        <v>24</v>
      </c>
      <c r="G14" s="1">
        <v>1800</v>
      </c>
      <c r="H14" s="1" t="s">
        <v>13</v>
      </c>
      <c r="I14" s="1" t="s">
        <v>51</v>
      </c>
      <c r="J14" s="1" t="s">
        <v>15</v>
      </c>
      <c r="K14" s="1">
        <f>IF(Table2[[#This Row],[Status]]="Failed",1,0)</f>
        <v>1</v>
      </c>
      <c r="L14" s="1">
        <f>HOUR(Table2[[#This Row],[Time]])</f>
        <v>20</v>
      </c>
      <c r="M14" s="1" t="str">
        <f>TEXT(Table2[[#This Row],[Date]],"dddd")</f>
        <v>Tuesday</v>
      </c>
    </row>
    <row r="15" spans="1:13" x14ac:dyDescent="0.35">
      <c r="A15" s="1" t="s">
        <v>52</v>
      </c>
      <c r="B15" s="2">
        <v>46084</v>
      </c>
      <c r="C15" s="3">
        <v>0.50694444444444442</v>
      </c>
      <c r="D15" s="1" t="s">
        <v>53</v>
      </c>
      <c r="E15" s="1" t="s">
        <v>27</v>
      </c>
      <c r="F15" s="1" t="s">
        <v>28</v>
      </c>
      <c r="G15" s="1">
        <v>600</v>
      </c>
      <c r="H15" s="1" t="s">
        <v>20</v>
      </c>
      <c r="I15" s="1"/>
      <c r="J15" s="1" t="s">
        <v>21</v>
      </c>
      <c r="K15" s="1">
        <f>IF(Table2[[#This Row],[Status]]="Failed",1,0)</f>
        <v>0</v>
      </c>
      <c r="L15" s="1">
        <f>HOUR(Table2[[#This Row],[Time]])</f>
        <v>12</v>
      </c>
      <c r="M15" s="1" t="str">
        <f>TEXT(Table2[[#This Row],[Date]],"dddd")</f>
        <v>Tuesday</v>
      </c>
    </row>
    <row r="16" spans="1:13" x14ac:dyDescent="0.35">
      <c r="A16" s="1" t="s">
        <v>54</v>
      </c>
      <c r="B16" s="2">
        <v>46084</v>
      </c>
      <c r="C16" s="3">
        <v>0.74305555555555558</v>
      </c>
      <c r="D16" s="1" t="s">
        <v>55</v>
      </c>
      <c r="E16" s="1" t="s">
        <v>18</v>
      </c>
      <c r="F16" s="1" t="s">
        <v>12</v>
      </c>
      <c r="G16" s="1">
        <v>2200</v>
      </c>
      <c r="H16" s="1" t="s">
        <v>20</v>
      </c>
      <c r="I16" s="1"/>
      <c r="J16" s="1" t="s">
        <v>21</v>
      </c>
      <c r="K16" s="1">
        <f>IF(Table2[[#This Row],[Status]]="Failed",1,0)</f>
        <v>0</v>
      </c>
      <c r="L16" s="1">
        <f>HOUR(Table2[[#This Row],[Time]])</f>
        <v>17</v>
      </c>
      <c r="M16" s="1" t="str">
        <f>TEXT(Table2[[#This Row],[Date]],"dddd")</f>
        <v>Tuesday</v>
      </c>
    </row>
    <row r="17" spans="1:13" x14ac:dyDescent="0.35">
      <c r="A17" s="1" t="s">
        <v>56</v>
      </c>
      <c r="B17" s="2">
        <v>46085</v>
      </c>
      <c r="C17" s="3">
        <v>0.89583333333333337</v>
      </c>
      <c r="D17" s="1" t="s">
        <v>57</v>
      </c>
      <c r="E17" s="1" t="s">
        <v>11</v>
      </c>
      <c r="F17" s="1" t="s">
        <v>19</v>
      </c>
      <c r="G17" s="1">
        <v>1100</v>
      </c>
      <c r="H17" s="1" t="s">
        <v>13</v>
      </c>
      <c r="I17" s="1" t="s">
        <v>14</v>
      </c>
      <c r="J17" s="1" t="s">
        <v>15</v>
      </c>
      <c r="K17" s="1">
        <f>IF(Table2[[#This Row],[Status]]="Failed",1,0)</f>
        <v>1</v>
      </c>
      <c r="L17" s="1">
        <f>HOUR(Table2[[#This Row],[Time]])</f>
        <v>21</v>
      </c>
      <c r="M17" s="1" t="str">
        <f>TEXT(Table2[[#This Row],[Date]],"dddd")</f>
        <v>Wednesday</v>
      </c>
    </row>
    <row r="18" spans="1:13" x14ac:dyDescent="0.35">
      <c r="A18" s="1" t="s">
        <v>58</v>
      </c>
      <c r="B18" s="2">
        <v>46085</v>
      </c>
      <c r="C18" s="3">
        <v>0.42708333333333331</v>
      </c>
      <c r="D18" s="1" t="s">
        <v>59</v>
      </c>
      <c r="E18" s="1" t="s">
        <v>18</v>
      </c>
      <c r="F18" s="1" t="s">
        <v>24</v>
      </c>
      <c r="G18" s="1">
        <v>750</v>
      </c>
      <c r="H18" s="1" t="s">
        <v>20</v>
      </c>
      <c r="I18" s="1"/>
      <c r="J18" s="1" t="s">
        <v>21</v>
      </c>
      <c r="K18" s="1">
        <f>IF(Table2[[#This Row],[Status]]="Failed",1,0)</f>
        <v>0</v>
      </c>
      <c r="L18" s="1">
        <f>HOUR(Table2[[#This Row],[Time]])</f>
        <v>10</v>
      </c>
      <c r="M18" s="1" t="str">
        <f>TEXT(Table2[[#This Row],[Date]],"dddd")</f>
        <v>Wednesday</v>
      </c>
    </row>
    <row r="19" spans="1:13" x14ac:dyDescent="0.35">
      <c r="A19" s="1" t="s">
        <v>60</v>
      </c>
      <c r="B19" s="2">
        <v>46085</v>
      </c>
      <c r="C19" s="3">
        <v>0.61111111111111116</v>
      </c>
      <c r="D19" s="1" t="s">
        <v>61</v>
      </c>
      <c r="E19" s="1" t="s">
        <v>11</v>
      </c>
      <c r="F19" s="1" t="s">
        <v>36</v>
      </c>
      <c r="G19" s="1">
        <v>1300</v>
      </c>
      <c r="H19" s="1" t="s">
        <v>20</v>
      </c>
      <c r="I19" s="1"/>
      <c r="J19" s="1" t="s">
        <v>21</v>
      </c>
      <c r="K19" s="1">
        <f>IF(Table2[[#This Row],[Status]]="Failed",1,0)</f>
        <v>0</v>
      </c>
      <c r="L19" s="1">
        <f>HOUR(Table2[[#This Row],[Time]])</f>
        <v>14</v>
      </c>
      <c r="M19" s="1" t="str">
        <f>TEXT(Table2[[#This Row],[Date]],"dddd")</f>
        <v>Wednesday</v>
      </c>
    </row>
    <row r="20" spans="1:13" x14ac:dyDescent="0.35">
      <c r="A20" s="1" t="s">
        <v>62</v>
      </c>
      <c r="B20" s="2">
        <v>46085</v>
      </c>
      <c r="C20" s="3">
        <v>0.3923611111111111</v>
      </c>
      <c r="D20" s="1" t="s">
        <v>63</v>
      </c>
      <c r="E20" s="1" t="s">
        <v>27</v>
      </c>
      <c r="F20" s="1" t="s">
        <v>39</v>
      </c>
      <c r="G20" s="1">
        <v>200</v>
      </c>
      <c r="H20" s="1" t="s">
        <v>20</v>
      </c>
      <c r="I20" s="1"/>
      <c r="J20" s="1" t="s">
        <v>21</v>
      </c>
      <c r="K20" s="1">
        <f>IF(Table2[[#This Row],[Status]]="Failed",1,0)</f>
        <v>0</v>
      </c>
      <c r="L20" s="1">
        <f>HOUR(Table2[[#This Row],[Time]])</f>
        <v>9</v>
      </c>
      <c r="M20" s="1" t="str">
        <f>TEXT(Table2[[#This Row],[Date]],"dddd")</f>
        <v>Wednesday</v>
      </c>
    </row>
    <row r="21" spans="1:13" x14ac:dyDescent="0.35">
      <c r="A21" s="1" t="s">
        <v>64</v>
      </c>
      <c r="B21" s="2">
        <v>46085</v>
      </c>
      <c r="C21" s="3">
        <v>0.92013888888888884</v>
      </c>
      <c r="D21" s="1" t="s">
        <v>65</v>
      </c>
      <c r="E21" s="1" t="s">
        <v>11</v>
      </c>
      <c r="F21" s="1" t="s">
        <v>12</v>
      </c>
      <c r="G21" s="1">
        <v>1600</v>
      </c>
      <c r="H21" s="1" t="s">
        <v>13</v>
      </c>
      <c r="I21" s="1" t="s">
        <v>31</v>
      </c>
      <c r="J21" s="1" t="s">
        <v>15</v>
      </c>
      <c r="K21" s="1">
        <f>IF(Table2[[#This Row],[Status]]="Failed",1,0)</f>
        <v>1</v>
      </c>
      <c r="L21" s="1">
        <f>HOUR(Table2[[#This Row],[Time]])</f>
        <v>22</v>
      </c>
      <c r="M21" s="1" t="str">
        <f>TEXT(Table2[[#This Row],[Date]],"dddd")</f>
        <v>Wednesday</v>
      </c>
    </row>
    <row r="22" spans="1:13" x14ac:dyDescent="0.35">
      <c r="A22" s="1" t="s">
        <v>66</v>
      </c>
      <c r="B22" s="2">
        <v>46086</v>
      </c>
      <c r="C22" s="3">
        <v>0.48958333333333331</v>
      </c>
      <c r="D22" s="1" t="s">
        <v>67</v>
      </c>
      <c r="E22" s="1" t="s">
        <v>18</v>
      </c>
      <c r="F22" s="1" t="s">
        <v>19</v>
      </c>
      <c r="G22" s="1">
        <v>900</v>
      </c>
      <c r="H22" s="1" t="s">
        <v>20</v>
      </c>
      <c r="I22" s="1"/>
      <c r="J22" s="1" t="s">
        <v>21</v>
      </c>
      <c r="K22" s="1">
        <f>IF(Table2[[#This Row],[Status]]="Failed",1,0)</f>
        <v>0</v>
      </c>
      <c r="L22" s="1">
        <f>HOUR(Table2[[#This Row],[Time]])</f>
        <v>11</v>
      </c>
      <c r="M22" s="1" t="str">
        <f>TEXT(Table2[[#This Row],[Date]],"dddd")</f>
        <v>Thursday</v>
      </c>
    </row>
    <row r="23" spans="1:13" x14ac:dyDescent="0.35">
      <c r="A23" s="1" t="s">
        <v>68</v>
      </c>
      <c r="B23" s="2">
        <v>46086</v>
      </c>
      <c r="C23" s="3">
        <v>0.63194444444444442</v>
      </c>
      <c r="D23" s="1" t="s">
        <v>69</v>
      </c>
      <c r="E23" s="1" t="s">
        <v>11</v>
      </c>
      <c r="F23" s="1" t="s">
        <v>24</v>
      </c>
      <c r="G23" s="1">
        <v>1700</v>
      </c>
      <c r="H23" s="1" t="s">
        <v>20</v>
      </c>
      <c r="I23" s="1"/>
      <c r="J23" s="1" t="s">
        <v>21</v>
      </c>
      <c r="K23" s="1">
        <f>IF(Table2[[#This Row],[Status]]="Failed",1,0)</f>
        <v>0</v>
      </c>
      <c r="L23" s="1">
        <f>HOUR(Table2[[#This Row],[Time]])</f>
        <v>15</v>
      </c>
      <c r="M23" s="1" t="str">
        <f>TEXT(Table2[[#This Row],[Date]],"dddd")</f>
        <v>Thursday</v>
      </c>
    </row>
    <row r="24" spans="1:13" x14ac:dyDescent="0.35">
      <c r="A24" s="1" t="s">
        <v>70</v>
      </c>
      <c r="B24" s="2">
        <v>46086</v>
      </c>
      <c r="C24" s="3">
        <v>0.77083333333333337</v>
      </c>
      <c r="D24" s="1" t="s">
        <v>71</v>
      </c>
      <c r="E24" s="1" t="s">
        <v>27</v>
      </c>
      <c r="F24" s="1" t="s">
        <v>28</v>
      </c>
      <c r="G24" s="1">
        <v>300</v>
      </c>
      <c r="H24" s="1" t="s">
        <v>20</v>
      </c>
      <c r="I24" s="1"/>
      <c r="J24" s="1" t="s">
        <v>21</v>
      </c>
      <c r="K24" s="1">
        <f>IF(Table2[[#This Row],[Status]]="Failed",1,0)</f>
        <v>0</v>
      </c>
      <c r="L24" s="1">
        <f>HOUR(Table2[[#This Row],[Time]])</f>
        <v>18</v>
      </c>
      <c r="M24" s="1" t="str">
        <f>TEXT(Table2[[#This Row],[Date]],"dddd")</f>
        <v>Thursday</v>
      </c>
    </row>
    <row r="25" spans="1:13" x14ac:dyDescent="0.35">
      <c r="A25" s="1" t="s">
        <v>72</v>
      </c>
      <c r="B25" s="2">
        <v>46086</v>
      </c>
      <c r="C25" s="3">
        <v>0.86805555555555558</v>
      </c>
      <c r="D25" s="1" t="s">
        <v>73</v>
      </c>
      <c r="E25" s="1" t="s">
        <v>11</v>
      </c>
      <c r="F25" s="1" t="s">
        <v>12</v>
      </c>
      <c r="G25" s="1">
        <v>1400</v>
      </c>
      <c r="H25" s="1" t="s">
        <v>13</v>
      </c>
      <c r="I25" s="1" t="s">
        <v>44</v>
      </c>
      <c r="J25" s="1" t="s">
        <v>15</v>
      </c>
      <c r="K25" s="1">
        <f>IF(Table2[[#This Row],[Status]]="Failed",1,0)</f>
        <v>1</v>
      </c>
      <c r="L25" s="1">
        <f>HOUR(Table2[[#This Row],[Time]])</f>
        <v>20</v>
      </c>
      <c r="M25" s="1" t="str">
        <f>TEXT(Table2[[#This Row],[Date]],"dddd")</f>
        <v>Thursday</v>
      </c>
    </row>
    <row r="26" spans="1:13" x14ac:dyDescent="0.35">
      <c r="A26" s="1" t="s">
        <v>74</v>
      </c>
      <c r="B26" s="2">
        <v>46086</v>
      </c>
      <c r="C26" s="3">
        <v>0.54166666666666663</v>
      </c>
      <c r="D26" s="1" t="s">
        <v>75</v>
      </c>
      <c r="E26" s="1" t="s">
        <v>18</v>
      </c>
      <c r="F26" s="1" t="s">
        <v>36</v>
      </c>
      <c r="G26" s="1">
        <v>800</v>
      </c>
      <c r="H26" s="1" t="s">
        <v>20</v>
      </c>
      <c r="I26" s="1"/>
      <c r="J26" s="1" t="s">
        <v>21</v>
      </c>
      <c r="K26" s="1">
        <f>IF(Table2[[#This Row],[Status]]="Failed",1,0)</f>
        <v>0</v>
      </c>
      <c r="L26" s="1">
        <f>HOUR(Table2[[#This Row],[Time]])</f>
        <v>13</v>
      </c>
      <c r="M26" s="1" t="str">
        <f>TEXT(Table2[[#This Row],[Date]],"dddd")</f>
        <v>Thursday</v>
      </c>
    </row>
    <row r="27" spans="1:13" x14ac:dyDescent="0.35">
      <c r="A27" s="1" t="s">
        <v>76</v>
      </c>
      <c r="B27" s="2">
        <v>46087</v>
      </c>
      <c r="C27" s="3">
        <v>0.90277777777777779</v>
      </c>
      <c r="D27" s="1" t="s">
        <v>77</v>
      </c>
      <c r="E27" s="1" t="s">
        <v>11</v>
      </c>
      <c r="F27" s="1" t="s">
        <v>24</v>
      </c>
      <c r="G27" s="1">
        <v>2100</v>
      </c>
      <c r="H27" s="1" t="s">
        <v>13</v>
      </c>
      <c r="I27" s="1" t="s">
        <v>51</v>
      </c>
      <c r="J27" s="1" t="s">
        <v>15</v>
      </c>
      <c r="K27" s="1">
        <f>IF(Table2[[#This Row],[Status]]="Failed",1,0)</f>
        <v>1</v>
      </c>
      <c r="L27" s="1">
        <f>HOUR(Table2[[#This Row],[Time]])</f>
        <v>21</v>
      </c>
      <c r="M27" s="1" t="str">
        <f>TEXT(Table2[[#This Row],[Date]],"dddd")</f>
        <v>Friday</v>
      </c>
    </row>
    <row r="28" spans="1:13" x14ac:dyDescent="0.35">
      <c r="A28" s="1" t="s">
        <v>78</v>
      </c>
      <c r="B28" s="2">
        <v>46087</v>
      </c>
      <c r="C28" s="3">
        <v>0.51388888888888884</v>
      </c>
      <c r="D28" s="1" t="s">
        <v>79</v>
      </c>
      <c r="E28" s="1" t="s">
        <v>27</v>
      </c>
      <c r="F28" s="1" t="s">
        <v>39</v>
      </c>
      <c r="G28" s="1">
        <v>500</v>
      </c>
      <c r="H28" s="1" t="s">
        <v>20</v>
      </c>
      <c r="I28" s="1"/>
      <c r="J28" s="1" t="s">
        <v>21</v>
      </c>
      <c r="K28" s="1">
        <f>IF(Table2[[#This Row],[Status]]="Failed",1,0)</f>
        <v>0</v>
      </c>
      <c r="L28" s="1">
        <f>HOUR(Table2[[#This Row],[Time]])</f>
        <v>12</v>
      </c>
      <c r="M28" s="1" t="str">
        <f>TEXT(Table2[[#This Row],[Date]],"dddd")</f>
        <v>Friday</v>
      </c>
    </row>
    <row r="29" spans="1:13" x14ac:dyDescent="0.35">
      <c r="A29" s="1" t="s">
        <v>80</v>
      </c>
      <c r="B29" s="2">
        <v>46087</v>
      </c>
      <c r="C29" s="3">
        <v>0.6875</v>
      </c>
      <c r="D29" s="1" t="s">
        <v>81</v>
      </c>
      <c r="E29" s="1" t="s">
        <v>18</v>
      </c>
      <c r="F29" s="1" t="s">
        <v>12</v>
      </c>
      <c r="G29" s="1">
        <v>1000</v>
      </c>
      <c r="H29" s="1" t="s">
        <v>20</v>
      </c>
      <c r="I29" s="1"/>
      <c r="J29" s="1" t="s">
        <v>21</v>
      </c>
      <c r="K29" s="1">
        <f>IF(Table2[[#This Row],[Status]]="Failed",1,0)</f>
        <v>0</v>
      </c>
      <c r="L29" s="1">
        <f>HOUR(Table2[[#This Row],[Time]])</f>
        <v>16</v>
      </c>
      <c r="M29" s="1" t="str">
        <f>TEXT(Table2[[#This Row],[Date]],"dddd")</f>
        <v>Friday</v>
      </c>
    </row>
    <row r="30" spans="1:13" x14ac:dyDescent="0.35">
      <c r="A30" s="1" t="s">
        <v>82</v>
      </c>
      <c r="B30" s="2">
        <v>46087</v>
      </c>
      <c r="C30" s="3">
        <v>0.92361111111111116</v>
      </c>
      <c r="D30" s="1" t="s">
        <v>83</v>
      </c>
      <c r="E30" s="1" t="s">
        <v>11</v>
      </c>
      <c r="F30" s="1" t="s">
        <v>19</v>
      </c>
      <c r="G30" s="1">
        <v>1900</v>
      </c>
      <c r="H30" s="1" t="s">
        <v>13</v>
      </c>
      <c r="I30" s="1" t="s">
        <v>14</v>
      </c>
      <c r="J30" s="1" t="s">
        <v>21</v>
      </c>
      <c r="K30" s="1">
        <f>IF(Table2[[#This Row],[Status]]="Failed",1,0)</f>
        <v>1</v>
      </c>
      <c r="L30" s="1">
        <f>HOUR(Table2[[#This Row],[Time]])</f>
        <v>22</v>
      </c>
      <c r="M30" s="1" t="str">
        <f>TEXT(Table2[[#This Row],[Date]],"dddd")</f>
        <v>Friday</v>
      </c>
    </row>
    <row r="31" spans="1:13" x14ac:dyDescent="0.35">
      <c r="A31" s="1" t="s">
        <v>84</v>
      </c>
      <c r="B31" s="2">
        <v>46087</v>
      </c>
      <c r="C31" s="3">
        <v>0.4201388888888889</v>
      </c>
      <c r="D31" s="1" t="s">
        <v>85</v>
      </c>
      <c r="E31" s="1" t="s">
        <v>27</v>
      </c>
      <c r="F31" s="1" t="s">
        <v>28</v>
      </c>
      <c r="G31" s="1">
        <v>700</v>
      </c>
      <c r="H31" s="1" t="s">
        <v>20</v>
      </c>
      <c r="I31" s="1"/>
      <c r="J31" s="1" t="s">
        <v>21</v>
      </c>
      <c r="K31" s="1">
        <f>IF(Table2[[#This Row],[Status]]="Failed",1,0)</f>
        <v>0</v>
      </c>
      <c r="L31" s="1">
        <f>HOUR(Table2[[#This Row],[Time]])</f>
        <v>10</v>
      </c>
      <c r="M31" s="1" t="str">
        <f>TEXT(Table2[[#This Row],[Date]],"dddd")</f>
        <v>Friday</v>
      </c>
    </row>
    <row r="32" spans="1:13" x14ac:dyDescent="0.35">
      <c r="A32" s="1" t="s">
        <v>86</v>
      </c>
      <c r="B32" s="2">
        <v>46088</v>
      </c>
      <c r="C32" s="3">
        <v>0.60069444444444442</v>
      </c>
      <c r="D32" s="1" t="s">
        <v>87</v>
      </c>
      <c r="E32" s="1" t="s">
        <v>18</v>
      </c>
      <c r="F32" s="1" t="s">
        <v>24</v>
      </c>
      <c r="G32" s="1">
        <v>1500</v>
      </c>
      <c r="H32" s="1" t="s">
        <v>20</v>
      </c>
      <c r="I32" s="1"/>
      <c r="J32" s="1" t="s">
        <v>21</v>
      </c>
      <c r="K32" s="1">
        <f>IF(Table2[[#This Row],[Status]]="Failed",1,0)</f>
        <v>0</v>
      </c>
      <c r="L32" s="1">
        <f>HOUR(Table2[[#This Row],[Time]])</f>
        <v>14</v>
      </c>
      <c r="M32" s="1" t="str">
        <f>TEXT(Table2[[#This Row],[Date]],"dddd")</f>
        <v>Saturday</v>
      </c>
    </row>
    <row r="33" spans="1:13" x14ac:dyDescent="0.35">
      <c r="A33" s="1" t="s">
        <v>88</v>
      </c>
      <c r="B33" s="2">
        <v>46088</v>
      </c>
      <c r="C33" s="3">
        <v>0.87152777777777779</v>
      </c>
      <c r="D33" s="1" t="s">
        <v>89</v>
      </c>
      <c r="E33" s="1" t="s">
        <v>11</v>
      </c>
      <c r="F33" s="1" t="s">
        <v>36</v>
      </c>
      <c r="G33" s="1">
        <v>2500</v>
      </c>
      <c r="H33" s="1" t="s">
        <v>13</v>
      </c>
      <c r="I33" s="1" t="s">
        <v>31</v>
      </c>
      <c r="J33" s="1" t="s">
        <v>15</v>
      </c>
      <c r="K33" s="1">
        <f>IF(Table2[[#This Row],[Status]]="Failed",1,0)</f>
        <v>1</v>
      </c>
      <c r="L33" s="1">
        <f>HOUR(Table2[[#This Row],[Time]])</f>
        <v>20</v>
      </c>
      <c r="M33" s="1" t="str">
        <f>TEXT(Table2[[#This Row],[Date]],"dddd")</f>
        <v>Saturday</v>
      </c>
    </row>
    <row r="34" spans="1:13" x14ac:dyDescent="0.35">
      <c r="A34" s="1" t="s">
        <v>90</v>
      </c>
      <c r="B34" s="2">
        <v>46088</v>
      </c>
      <c r="C34" s="3">
        <v>0.4861111111111111</v>
      </c>
      <c r="D34" s="1" t="s">
        <v>91</v>
      </c>
      <c r="E34" s="1" t="s">
        <v>27</v>
      </c>
      <c r="F34" s="1" t="s">
        <v>39</v>
      </c>
      <c r="G34" s="1">
        <v>600</v>
      </c>
      <c r="H34" s="1" t="s">
        <v>20</v>
      </c>
      <c r="I34" s="1"/>
      <c r="J34" s="1" t="s">
        <v>21</v>
      </c>
      <c r="K34" s="1">
        <f>IF(Table2[[#This Row],[Status]]="Failed",1,0)</f>
        <v>0</v>
      </c>
      <c r="L34" s="1">
        <f>HOUR(Table2[[#This Row],[Time]])</f>
        <v>11</v>
      </c>
      <c r="M34" s="1" t="str">
        <f>TEXT(Table2[[#This Row],[Date]],"dddd")</f>
        <v>Saturday</v>
      </c>
    </row>
    <row r="35" spans="1:13" x14ac:dyDescent="0.35">
      <c r="A35" s="1" t="s">
        <v>92</v>
      </c>
      <c r="B35" s="2">
        <v>46088</v>
      </c>
      <c r="C35" s="3">
        <v>0.72222222222222221</v>
      </c>
      <c r="D35" s="1" t="s">
        <v>93</v>
      </c>
      <c r="E35" s="1" t="s">
        <v>11</v>
      </c>
      <c r="F35" s="1" t="s">
        <v>12</v>
      </c>
      <c r="G35" s="1">
        <v>1800</v>
      </c>
      <c r="H35" s="1" t="s">
        <v>20</v>
      </c>
      <c r="I35" s="1"/>
      <c r="J35" s="1" t="s">
        <v>21</v>
      </c>
      <c r="K35" s="1">
        <f>IF(Table2[[#This Row],[Status]]="Failed",1,0)</f>
        <v>0</v>
      </c>
      <c r="L35" s="1">
        <f>HOUR(Table2[[#This Row],[Time]])</f>
        <v>17</v>
      </c>
      <c r="M35" s="1" t="str">
        <f>TEXT(Table2[[#This Row],[Date]],"dddd")</f>
        <v>Saturday</v>
      </c>
    </row>
    <row r="36" spans="1:13" x14ac:dyDescent="0.35">
      <c r="A36" s="1" t="s">
        <v>94</v>
      </c>
      <c r="B36" s="2">
        <v>46088</v>
      </c>
      <c r="C36" s="3">
        <v>0.54861111111111116</v>
      </c>
      <c r="D36" s="1" t="s">
        <v>95</v>
      </c>
      <c r="E36" s="1" t="s">
        <v>18</v>
      </c>
      <c r="F36" s="1" t="s">
        <v>19</v>
      </c>
      <c r="G36" s="1">
        <v>1200</v>
      </c>
      <c r="H36" s="1" t="s">
        <v>20</v>
      </c>
      <c r="I36" s="1"/>
      <c r="J36" s="1" t="s">
        <v>21</v>
      </c>
      <c r="K36" s="1">
        <f>IF(Table2[[#This Row],[Status]]="Failed",1,0)</f>
        <v>0</v>
      </c>
      <c r="L36" s="1">
        <f>HOUR(Table2[[#This Row],[Time]])</f>
        <v>13</v>
      </c>
      <c r="M36" s="1" t="str">
        <f>TEXT(Table2[[#This Row],[Date]],"dddd")</f>
        <v>Saturday</v>
      </c>
    </row>
    <row r="37" spans="1:13" x14ac:dyDescent="0.35">
      <c r="A37" s="1" t="s">
        <v>96</v>
      </c>
      <c r="B37" s="2">
        <v>46089</v>
      </c>
      <c r="C37" s="3">
        <v>0.88541666666666663</v>
      </c>
      <c r="D37" s="1" t="s">
        <v>97</v>
      </c>
      <c r="E37" s="1" t="s">
        <v>11</v>
      </c>
      <c r="F37" s="1" t="s">
        <v>24</v>
      </c>
      <c r="G37" s="1">
        <v>2200</v>
      </c>
      <c r="H37" s="1" t="s">
        <v>13</v>
      </c>
      <c r="I37" s="1" t="s">
        <v>44</v>
      </c>
      <c r="J37" s="1" t="s">
        <v>15</v>
      </c>
      <c r="K37" s="1">
        <f>IF(Table2[[#This Row],[Status]]="Failed",1,0)</f>
        <v>1</v>
      </c>
      <c r="L37" s="1">
        <f>HOUR(Table2[[#This Row],[Time]])</f>
        <v>21</v>
      </c>
      <c r="M37" s="1" t="str">
        <f>TEXT(Table2[[#This Row],[Date]],"dddd")</f>
        <v>Sunday</v>
      </c>
    </row>
    <row r="38" spans="1:13" x14ac:dyDescent="0.35">
      <c r="A38" s="1" t="s">
        <v>98</v>
      </c>
      <c r="B38" s="2">
        <v>46089</v>
      </c>
      <c r="C38" s="3">
        <v>0.40972222222222221</v>
      </c>
      <c r="D38" s="1" t="s">
        <v>99</v>
      </c>
      <c r="E38" s="1" t="s">
        <v>27</v>
      </c>
      <c r="F38" s="1" t="s">
        <v>28</v>
      </c>
      <c r="G38" s="1">
        <v>400</v>
      </c>
      <c r="H38" s="1" t="s">
        <v>20</v>
      </c>
      <c r="I38" s="1"/>
      <c r="J38" s="1" t="s">
        <v>21</v>
      </c>
      <c r="K38" s="1">
        <f>IF(Table2[[#This Row],[Status]]="Failed",1,0)</f>
        <v>0</v>
      </c>
      <c r="L38" s="1">
        <f>HOUR(Table2[[#This Row],[Time]])</f>
        <v>9</v>
      </c>
      <c r="M38" s="1" t="str">
        <f>TEXT(Table2[[#This Row],[Date]],"dddd")</f>
        <v>Sunday</v>
      </c>
    </row>
    <row r="39" spans="1:13" x14ac:dyDescent="0.35">
      <c r="A39" s="1" t="s">
        <v>100</v>
      </c>
      <c r="B39" s="2">
        <v>46089</v>
      </c>
      <c r="C39" s="3">
        <v>0.64583333333333337</v>
      </c>
      <c r="D39" s="1" t="s">
        <v>101</v>
      </c>
      <c r="E39" s="1" t="s">
        <v>18</v>
      </c>
      <c r="F39" s="1" t="s">
        <v>36</v>
      </c>
      <c r="G39" s="1">
        <v>1600</v>
      </c>
      <c r="H39" s="1" t="s">
        <v>20</v>
      </c>
      <c r="I39" s="1"/>
      <c r="J39" s="1" t="s">
        <v>21</v>
      </c>
      <c r="K39" s="1">
        <f>IF(Table2[[#This Row],[Status]]="Failed",1,0)</f>
        <v>0</v>
      </c>
      <c r="L39" s="1">
        <f>HOUR(Table2[[#This Row],[Time]])</f>
        <v>15</v>
      </c>
      <c r="M39" s="1" t="str">
        <f>TEXT(Table2[[#This Row],[Date]],"dddd")</f>
        <v>Sunday</v>
      </c>
    </row>
    <row r="40" spans="1:13" x14ac:dyDescent="0.35">
      <c r="A40" s="1" t="s">
        <v>102</v>
      </c>
      <c r="B40" s="2">
        <v>46089</v>
      </c>
      <c r="C40" s="3">
        <v>0.86111111111111116</v>
      </c>
      <c r="D40" s="1" t="s">
        <v>103</v>
      </c>
      <c r="E40" s="1" t="s">
        <v>11</v>
      </c>
      <c r="F40" s="1" t="s">
        <v>12</v>
      </c>
      <c r="G40" s="1">
        <v>900</v>
      </c>
      <c r="H40" s="1" t="s">
        <v>13</v>
      </c>
      <c r="I40" s="1" t="s">
        <v>51</v>
      </c>
      <c r="J40" s="1" t="s">
        <v>15</v>
      </c>
      <c r="K40" s="1">
        <f>IF(Table2[[#This Row],[Status]]="Failed",1,0)</f>
        <v>1</v>
      </c>
      <c r="L40" s="1">
        <f>HOUR(Table2[[#This Row],[Time]])</f>
        <v>20</v>
      </c>
      <c r="M40" s="1" t="str">
        <f>TEXT(Table2[[#This Row],[Date]],"dddd")</f>
        <v>Sunday</v>
      </c>
    </row>
    <row r="41" spans="1:13" x14ac:dyDescent="0.35">
      <c r="A41" s="1" t="s">
        <v>104</v>
      </c>
      <c r="B41" s="2">
        <v>46089</v>
      </c>
      <c r="C41" s="3">
        <v>0.5</v>
      </c>
      <c r="D41" s="1" t="s">
        <v>105</v>
      </c>
      <c r="E41" s="1" t="s">
        <v>18</v>
      </c>
      <c r="F41" s="1" t="s">
        <v>19</v>
      </c>
      <c r="G41" s="1">
        <v>1300</v>
      </c>
      <c r="H41" s="1" t="s">
        <v>20</v>
      </c>
      <c r="I41" s="1"/>
      <c r="J41" s="1" t="s">
        <v>21</v>
      </c>
      <c r="K41" s="1">
        <f>IF(Table2[[#This Row],[Status]]="Failed",1,0)</f>
        <v>0</v>
      </c>
      <c r="L41" s="1">
        <f>HOUR(Table2[[#This Row],[Time]])</f>
        <v>12</v>
      </c>
      <c r="M41" s="1" t="str">
        <f>TEXT(Table2[[#This Row],[Date]],"dddd")</f>
        <v>Sunday</v>
      </c>
    </row>
    <row r="42" spans="1:13" x14ac:dyDescent="0.35">
      <c r="A42" s="1" t="s">
        <v>106</v>
      </c>
      <c r="B42" s="2">
        <v>46090</v>
      </c>
      <c r="C42" s="3">
        <v>0.75694444444444442</v>
      </c>
      <c r="D42" s="1" t="s">
        <v>107</v>
      </c>
      <c r="E42" s="1" t="s">
        <v>11</v>
      </c>
      <c r="F42" s="1" t="s">
        <v>24</v>
      </c>
      <c r="G42" s="1">
        <v>2100</v>
      </c>
      <c r="H42" s="1" t="s">
        <v>20</v>
      </c>
      <c r="I42" s="1"/>
      <c r="J42" s="1" t="s">
        <v>21</v>
      </c>
      <c r="K42" s="1">
        <f>IF(Table2[[#This Row],[Status]]="Failed",1,0)</f>
        <v>0</v>
      </c>
      <c r="L42" s="1">
        <f>HOUR(Table2[[#This Row],[Time]])</f>
        <v>18</v>
      </c>
      <c r="M42" s="1" t="str">
        <f>TEXT(Table2[[#This Row],[Date]],"dddd")</f>
        <v>Monday</v>
      </c>
    </row>
    <row r="43" spans="1:13" x14ac:dyDescent="0.35">
      <c r="A43" s="1" t="s">
        <v>108</v>
      </c>
      <c r="B43" s="2">
        <v>46090</v>
      </c>
      <c r="C43" s="3">
        <v>0.43055555555555558</v>
      </c>
      <c r="D43" s="1" t="s">
        <v>109</v>
      </c>
      <c r="E43" s="1" t="s">
        <v>27</v>
      </c>
      <c r="F43" s="1" t="s">
        <v>39</v>
      </c>
      <c r="G43" s="1">
        <v>700</v>
      </c>
      <c r="H43" s="1" t="s">
        <v>20</v>
      </c>
      <c r="I43" s="1"/>
      <c r="J43" s="1" t="s">
        <v>21</v>
      </c>
      <c r="K43" s="1">
        <f>IF(Table2[[#This Row],[Status]]="Failed",1,0)</f>
        <v>0</v>
      </c>
      <c r="L43" s="1">
        <f>HOUR(Table2[[#This Row],[Time]])</f>
        <v>10</v>
      </c>
      <c r="M43" s="1" t="str">
        <f>TEXT(Table2[[#This Row],[Date]],"dddd")</f>
        <v>Monday</v>
      </c>
    </row>
    <row r="44" spans="1:13" x14ac:dyDescent="0.35">
      <c r="A44" s="1" t="s">
        <v>110</v>
      </c>
      <c r="B44" s="2">
        <v>46090</v>
      </c>
      <c r="C44" s="3">
        <v>0.91666666666666663</v>
      </c>
      <c r="D44" s="1" t="s">
        <v>111</v>
      </c>
      <c r="E44" s="1" t="s">
        <v>11</v>
      </c>
      <c r="F44" s="1" t="s">
        <v>36</v>
      </c>
      <c r="G44" s="1">
        <v>1400</v>
      </c>
      <c r="H44" s="1" t="s">
        <v>13</v>
      </c>
      <c r="I44" s="1" t="s">
        <v>14</v>
      </c>
      <c r="J44" s="1" t="s">
        <v>15</v>
      </c>
      <c r="K44" s="1">
        <f>IF(Table2[[#This Row],[Status]]="Failed",1,0)</f>
        <v>1</v>
      </c>
      <c r="L44" s="1">
        <f>HOUR(Table2[[#This Row],[Time]])</f>
        <v>22</v>
      </c>
      <c r="M44" s="1" t="str">
        <f>TEXT(Table2[[#This Row],[Date]],"dddd")</f>
        <v>Monday</v>
      </c>
    </row>
    <row r="45" spans="1:13" x14ac:dyDescent="0.35">
      <c r="A45" s="1" t="s">
        <v>112</v>
      </c>
      <c r="B45" s="2">
        <v>46090</v>
      </c>
      <c r="C45" s="3">
        <v>0.57291666666666663</v>
      </c>
      <c r="D45" s="1" t="s">
        <v>113</v>
      </c>
      <c r="E45" s="1" t="s">
        <v>18</v>
      </c>
      <c r="F45" s="1" t="s">
        <v>12</v>
      </c>
      <c r="G45" s="1">
        <v>800</v>
      </c>
      <c r="H45" s="1" t="s">
        <v>20</v>
      </c>
      <c r="I45" s="1"/>
      <c r="J45" s="1" t="s">
        <v>21</v>
      </c>
      <c r="K45" s="1">
        <f>IF(Table2[[#This Row],[Status]]="Failed",1,0)</f>
        <v>0</v>
      </c>
      <c r="L45" s="1">
        <f>HOUR(Table2[[#This Row],[Time]])</f>
        <v>13</v>
      </c>
      <c r="M45" s="1" t="str">
        <f>TEXT(Table2[[#This Row],[Date]],"dddd")</f>
        <v>Monday</v>
      </c>
    </row>
    <row r="46" spans="1:13" x14ac:dyDescent="0.35">
      <c r="A46" s="1" t="s">
        <v>114</v>
      </c>
      <c r="B46" s="2">
        <v>46090</v>
      </c>
      <c r="C46" s="3">
        <v>0.89236111111111116</v>
      </c>
      <c r="D46" s="1" t="s">
        <v>115</v>
      </c>
      <c r="E46" s="1" t="s">
        <v>11</v>
      </c>
      <c r="F46" s="1" t="s">
        <v>19</v>
      </c>
      <c r="G46" s="1">
        <v>1700</v>
      </c>
      <c r="H46" s="1" t="s">
        <v>13</v>
      </c>
      <c r="I46" s="1" t="s">
        <v>31</v>
      </c>
      <c r="J46" s="1" t="s">
        <v>15</v>
      </c>
      <c r="K46" s="1">
        <f>IF(Table2[[#This Row],[Status]]="Failed",1,0)</f>
        <v>1</v>
      </c>
      <c r="L46" s="1">
        <f>HOUR(Table2[[#This Row],[Time]])</f>
        <v>21</v>
      </c>
      <c r="M46" s="1" t="str">
        <f>TEXT(Table2[[#This Row],[Date]],"dddd")</f>
        <v>Monday</v>
      </c>
    </row>
    <row r="47" spans="1:13" x14ac:dyDescent="0.35">
      <c r="A47" s="1" t="s">
        <v>116</v>
      </c>
      <c r="B47" s="2">
        <v>46091</v>
      </c>
      <c r="C47" s="3">
        <v>0.46875</v>
      </c>
      <c r="D47" s="1" t="s">
        <v>117</v>
      </c>
      <c r="E47" s="1" t="s">
        <v>27</v>
      </c>
      <c r="F47" s="1" t="s">
        <v>28</v>
      </c>
      <c r="G47" s="1">
        <v>600</v>
      </c>
      <c r="H47" s="1" t="s">
        <v>20</v>
      </c>
      <c r="I47" s="1"/>
      <c r="J47" s="1" t="s">
        <v>21</v>
      </c>
      <c r="K47" s="1">
        <f>IF(Table2[[#This Row],[Status]]="Failed",1,0)</f>
        <v>0</v>
      </c>
      <c r="L47" s="1">
        <f>HOUR(Table2[[#This Row],[Time]])</f>
        <v>11</v>
      </c>
      <c r="M47" s="1" t="str">
        <f>TEXT(Table2[[#This Row],[Date]],"dddd")</f>
        <v>Tuesday</v>
      </c>
    </row>
    <row r="48" spans="1:13" x14ac:dyDescent="0.35">
      <c r="A48" s="1" t="s">
        <v>118</v>
      </c>
      <c r="B48" s="2">
        <v>46091</v>
      </c>
      <c r="C48" s="3">
        <v>0.69097222222222221</v>
      </c>
      <c r="D48" s="1" t="s">
        <v>119</v>
      </c>
      <c r="E48" s="1" t="s">
        <v>18</v>
      </c>
      <c r="F48" s="1" t="s">
        <v>24</v>
      </c>
      <c r="G48" s="1">
        <v>2000</v>
      </c>
      <c r="H48" s="1" t="s">
        <v>20</v>
      </c>
      <c r="I48" s="1"/>
      <c r="J48" s="1" t="s">
        <v>21</v>
      </c>
      <c r="K48" s="1">
        <f>IF(Table2[[#This Row],[Status]]="Failed",1,0)</f>
        <v>0</v>
      </c>
      <c r="L48" s="1">
        <f>HOUR(Table2[[#This Row],[Time]])</f>
        <v>16</v>
      </c>
      <c r="M48" s="1" t="str">
        <f>TEXT(Table2[[#This Row],[Date]],"dddd")</f>
        <v>Tuesday</v>
      </c>
    </row>
    <row r="49" spans="1:13" x14ac:dyDescent="0.35">
      <c r="A49" s="1" t="s">
        <v>120</v>
      </c>
      <c r="B49" s="2">
        <v>46091</v>
      </c>
      <c r="C49" s="3">
        <v>0.86805555555555558</v>
      </c>
      <c r="D49" s="1" t="s">
        <v>121</v>
      </c>
      <c r="E49" s="1" t="s">
        <v>11</v>
      </c>
      <c r="F49" s="1" t="s">
        <v>12</v>
      </c>
      <c r="G49" s="1">
        <v>1500</v>
      </c>
      <c r="H49" s="1" t="s">
        <v>13</v>
      </c>
      <c r="I49" s="1" t="s">
        <v>44</v>
      </c>
      <c r="J49" s="1" t="s">
        <v>15</v>
      </c>
      <c r="K49" s="1">
        <f>IF(Table2[[#This Row],[Status]]="Failed",1,0)</f>
        <v>1</v>
      </c>
      <c r="L49" s="1">
        <f>HOUR(Table2[[#This Row],[Time]])</f>
        <v>20</v>
      </c>
      <c r="M49" s="1" t="str">
        <f>TEXT(Table2[[#This Row],[Date]],"dddd")</f>
        <v>Tuesday</v>
      </c>
    </row>
    <row r="50" spans="1:13" x14ac:dyDescent="0.35">
      <c r="A50" s="1" t="s">
        <v>122</v>
      </c>
      <c r="B50" s="2">
        <v>46091</v>
      </c>
      <c r="C50" s="3">
        <v>0.39583333333333331</v>
      </c>
      <c r="D50" s="1" t="s">
        <v>123</v>
      </c>
      <c r="E50" s="1" t="s">
        <v>27</v>
      </c>
      <c r="F50" s="1" t="s">
        <v>39</v>
      </c>
      <c r="G50" s="1">
        <v>1000</v>
      </c>
      <c r="H50" s="1" t="s">
        <v>20</v>
      </c>
      <c r="I50" s="1"/>
      <c r="J50" s="1" t="s">
        <v>21</v>
      </c>
      <c r="K50" s="1">
        <f>IF(Table2[[#This Row],[Status]]="Failed",1,0)</f>
        <v>0</v>
      </c>
      <c r="L50" s="1">
        <f>HOUR(Table2[[#This Row],[Time]])</f>
        <v>9</v>
      </c>
      <c r="M50" s="1" t="str">
        <f>TEXT(Table2[[#This Row],[Date]],"dddd")</f>
        <v>Tuesday</v>
      </c>
    </row>
    <row r="51" spans="1:13" x14ac:dyDescent="0.35">
      <c r="A51" s="1" t="s">
        <v>124</v>
      </c>
      <c r="B51" s="2">
        <v>46091</v>
      </c>
      <c r="C51" s="3">
        <v>0.59027777777777779</v>
      </c>
      <c r="D51" s="1" t="s">
        <v>125</v>
      </c>
      <c r="E51" s="1" t="s">
        <v>11</v>
      </c>
      <c r="F51" s="1" t="s">
        <v>36</v>
      </c>
      <c r="G51" s="1">
        <v>1800</v>
      </c>
      <c r="H51" s="1" t="s">
        <v>20</v>
      </c>
      <c r="I51" s="1"/>
      <c r="J51" s="1" t="s">
        <v>21</v>
      </c>
      <c r="K51" s="1">
        <f>IF(Table2[[#This Row],[Status]]="Failed",1,0)</f>
        <v>0</v>
      </c>
      <c r="L51" s="1">
        <f>HOUR(Table2[[#This Row],[Time]])</f>
        <v>14</v>
      </c>
      <c r="M51" s="1" t="str">
        <f>TEXT(Table2[[#This Row],[Date]],"dddd")</f>
        <v>Tuesday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B9E7C-8A3E-42C4-8AE8-0E43C848DE8B}">
  <dimension ref="A2:H17"/>
  <sheetViews>
    <sheetView zoomScale="81" zoomScaleNormal="81" workbookViewId="0">
      <selection activeCell="O12" sqref="O12"/>
    </sheetView>
  </sheetViews>
  <sheetFormatPr defaultRowHeight="14.5" x14ac:dyDescent="0.35"/>
  <cols>
    <col min="1" max="1" width="19.81640625" customWidth="1"/>
    <col min="2" max="2" width="23" customWidth="1"/>
    <col min="4" max="4" width="15.90625" customWidth="1"/>
    <col min="5" max="5" width="21.81640625" customWidth="1"/>
    <col min="7" max="7" width="20.26953125" customWidth="1"/>
    <col min="8" max="8" width="21.08984375" customWidth="1"/>
    <col min="9" max="9" width="17.1796875" bestFit="1" customWidth="1"/>
  </cols>
  <sheetData>
    <row r="2" spans="1:8" x14ac:dyDescent="0.35">
      <c r="A2" s="4" t="s">
        <v>129</v>
      </c>
      <c r="B2" s="1" t="s">
        <v>131</v>
      </c>
      <c r="D2" s="4" t="s">
        <v>129</v>
      </c>
      <c r="E2" s="1" t="s">
        <v>131</v>
      </c>
      <c r="G2" s="4" t="s">
        <v>129</v>
      </c>
      <c r="H2" s="1" t="s">
        <v>131</v>
      </c>
    </row>
    <row r="3" spans="1:8" x14ac:dyDescent="0.35">
      <c r="A3" s="1" t="s">
        <v>11</v>
      </c>
      <c r="B3" s="5">
        <v>16</v>
      </c>
      <c r="D3" s="1" t="s">
        <v>36</v>
      </c>
      <c r="E3" s="5">
        <v>3</v>
      </c>
      <c r="G3" s="1">
        <v>9</v>
      </c>
      <c r="H3" s="5">
        <v>0</v>
      </c>
    </row>
    <row r="4" spans="1:8" x14ac:dyDescent="0.35">
      <c r="A4" s="1" t="s">
        <v>18</v>
      </c>
      <c r="B4" s="5">
        <v>0</v>
      </c>
      <c r="D4" s="1" t="s">
        <v>12</v>
      </c>
      <c r="E4" s="5">
        <v>7</v>
      </c>
      <c r="G4" s="1">
        <v>10</v>
      </c>
      <c r="H4" s="5">
        <v>0</v>
      </c>
    </row>
    <row r="5" spans="1:8" x14ac:dyDescent="0.35">
      <c r="A5" s="1" t="s">
        <v>27</v>
      </c>
      <c r="B5" s="5">
        <v>0</v>
      </c>
      <c r="D5" s="1" t="s">
        <v>24</v>
      </c>
      <c r="E5" s="5">
        <v>3</v>
      </c>
      <c r="G5" s="1">
        <v>11</v>
      </c>
      <c r="H5" s="5">
        <v>0</v>
      </c>
    </row>
    <row r="6" spans="1:8" x14ac:dyDescent="0.35">
      <c r="A6" s="1" t="s">
        <v>130</v>
      </c>
      <c r="B6" s="5">
        <v>16</v>
      </c>
      <c r="D6" s="1" t="s">
        <v>28</v>
      </c>
      <c r="E6" s="5">
        <v>0</v>
      </c>
      <c r="G6" s="1">
        <v>12</v>
      </c>
      <c r="H6" s="5">
        <v>0</v>
      </c>
    </row>
    <row r="7" spans="1:8" x14ac:dyDescent="0.35">
      <c r="D7" s="1" t="s">
        <v>39</v>
      </c>
      <c r="E7" s="5">
        <v>0</v>
      </c>
      <c r="G7" s="1">
        <v>13</v>
      </c>
      <c r="H7" s="5">
        <v>0</v>
      </c>
    </row>
    <row r="8" spans="1:8" x14ac:dyDescent="0.35">
      <c r="D8" s="1" t="s">
        <v>19</v>
      </c>
      <c r="E8" s="5">
        <v>3</v>
      </c>
      <c r="G8" s="1">
        <v>14</v>
      </c>
      <c r="H8" s="5">
        <v>0</v>
      </c>
    </row>
    <row r="9" spans="1:8" x14ac:dyDescent="0.35">
      <c r="D9" s="1" t="s">
        <v>130</v>
      </c>
      <c r="E9" s="5">
        <v>16</v>
      </c>
      <c r="G9" s="1">
        <v>15</v>
      </c>
      <c r="H9" s="5">
        <v>0</v>
      </c>
    </row>
    <row r="10" spans="1:8" x14ac:dyDescent="0.35">
      <c r="G10" s="1">
        <v>16</v>
      </c>
      <c r="H10" s="5">
        <v>0</v>
      </c>
    </row>
    <row r="11" spans="1:8" x14ac:dyDescent="0.35">
      <c r="G11" s="1">
        <v>17</v>
      </c>
      <c r="H11" s="5">
        <v>0</v>
      </c>
    </row>
    <row r="12" spans="1:8" x14ac:dyDescent="0.35">
      <c r="G12" s="1">
        <v>18</v>
      </c>
      <c r="H12" s="5">
        <v>0</v>
      </c>
    </row>
    <row r="13" spans="1:8" x14ac:dyDescent="0.35">
      <c r="G13" s="1">
        <v>19</v>
      </c>
      <c r="H13" s="5">
        <v>1</v>
      </c>
    </row>
    <row r="14" spans="1:8" x14ac:dyDescent="0.35">
      <c r="G14" s="1">
        <v>20</v>
      </c>
      <c r="H14" s="5">
        <v>6</v>
      </c>
    </row>
    <row r="15" spans="1:8" x14ac:dyDescent="0.35">
      <c r="G15" s="1">
        <v>21</v>
      </c>
      <c r="H15" s="5">
        <v>5</v>
      </c>
    </row>
    <row r="16" spans="1:8" x14ac:dyDescent="0.35">
      <c r="G16" s="1">
        <v>22</v>
      </c>
      <c r="H16" s="5">
        <v>4</v>
      </c>
    </row>
    <row r="17" spans="7:8" x14ac:dyDescent="0.35">
      <c r="G17" s="1" t="s">
        <v>130</v>
      </c>
      <c r="H17" s="5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56358-E02C-4129-9A2E-90CCBD4CE7C7}">
  <dimension ref="A1:A14"/>
  <sheetViews>
    <sheetView workbookViewId="0">
      <selection activeCell="A20" sqref="A20"/>
    </sheetView>
  </sheetViews>
  <sheetFormatPr defaultRowHeight="14.5" x14ac:dyDescent="0.35"/>
  <cols>
    <col min="1" max="1" width="132.90625" style="6" customWidth="1"/>
  </cols>
  <sheetData>
    <row r="1" spans="1:1" ht="21" x14ac:dyDescent="0.5">
      <c r="A1" s="7" t="s">
        <v>135</v>
      </c>
    </row>
    <row r="3" spans="1:1" x14ac:dyDescent="0.35">
      <c r="A3" s="6" t="s">
        <v>141</v>
      </c>
    </row>
    <row r="4" spans="1:1" x14ac:dyDescent="0.35">
      <c r="A4" s="6" t="s">
        <v>133</v>
      </c>
    </row>
    <row r="5" spans="1:1" x14ac:dyDescent="0.35">
      <c r="A5" s="6" t="s">
        <v>134</v>
      </c>
    </row>
    <row r="7" spans="1:1" ht="21" x14ac:dyDescent="0.5">
      <c r="A7" s="7" t="s">
        <v>136</v>
      </c>
    </row>
    <row r="9" spans="1:1" x14ac:dyDescent="0.35">
      <c r="A9" t="s">
        <v>137</v>
      </c>
    </row>
    <row r="10" spans="1:1" x14ac:dyDescent="0.35">
      <c r="A10" t="s">
        <v>138</v>
      </c>
    </row>
    <row r="11" spans="1:1" ht="17.5" customHeight="1" x14ac:dyDescent="0.35">
      <c r="A11" s="6" t="s">
        <v>143</v>
      </c>
    </row>
    <row r="12" spans="1:1" x14ac:dyDescent="0.35">
      <c r="A12" s="6" t="s">
        <v>139</v>
      </c>
    </row>
    <row r="13" spans="1:1" x14ac:dyDescent="0.35">
      <c r="A13" s="6" t="s">
        <v>140</v>
      </c>
    </row>
    <row r="14" spans="1:1" ht="17.5" customHeight="1" x14ac:dyDescent="0.35">
      <c r="A14" s="6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Pivot_ Analysis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Harwani</dc:creator>
  <cp:lastModifiedBy>Kirti Harwani</cp:lastModifiedBy>
  <dcterms:created xsi:type="dcterms:W3CDTF">2026-03-26T04:35:55Z</dcterms:created>
  <dcterms:modified xsi:type="dcterms:W3CDTF">2026-03-26T06:48:25Z</dcterms:modified>
</cp:coreProperties>
</file>